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xr:revisionPtr revIDLastSave="0" documentId="8_{90E4F7FD-5716-4A24-9E28-3A66BAAB5AB5}" xr6:coauthVersionLast="47" xr6:coauthVersionMax="47" xr10:uidLastSave="{00000000-0000-0000-0000-000000000000}"/>
  <bookViews>
    <workbookView xWindow="-110" yWindow="-110" windowWidth="19420" windowHeight="11500" xr2:uid="{2A42ED35-0976-4898-B199-715EBB3E7A1A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K14" i="1"/>
  <c r="J14" i="1"/>
  <c r="H13" i="1"/>
  <c r="G13" i="1"/>
  <c r="L12" i="1"/>
  <c r="I12" i="1"/>
  <c r="H12" i="1"/>
  <c r="G12" i="1"/>
  <c r="N11" i="1"/>
  <c r="M11" i="1"/>
  <c r="L11" i="1"/>
  <c r="L13" i="1" s="1"/>
  <c r="K11" i="1"/>
  <c r="K13" i="1" s="1"/>
  <c r="J11" i="1"/>
  <c r="I11" i="1"/>
  <c r="I13" i="1" s="1"/>
  <c r="J10" i="1"/>
  <c r="L10" i="1" s="1"/>
  <c r="N10" i="1" s="1"/>
  <c r="I10" i="1"/>
  <c r="K10" i="1" s="1"/>
  <c r="M10" i="1" s="1"/>
  <c r="N9" i="1"/>
  <c r="N14" i="1" s="1"/>
  <c r="M9" i="1"/>
  <c r="M14" i="1" s="1"/>
  <c r="N8" i="1"/>
  <c r="N12" i="1" s="1"/>
  <c r="M8" i="1"/>
  <c r="N7" i="1"/>
  <c r="M7" i="1"/>
  <c r="M6" i="1"/>
  <c r="M12" i="1" s="1"/>
  <c r="K6" i="1"/>
  <c r="K12" i="1" s="1"/>
  <c r="I6" i="1"/>
  <c r="J13" i="1" s="1"/>
  <c r="G6" i="1"/>
  <c r="H14" i="1" s="1"/>
  <c r="M13" i="1" l="1"/>
  <c r="J12" i="1"/>
  <c r="N13" i="1"/>
  <c r="G14" i="1"/>
  <c r="I14" i="1"/>
</calcChain>
</file>

<file path=xl/sharedStrings.xml><?xml version="1.0" encoding="utf-8"?>
<sst xmlns="http://schemas.openxmlformats.org/spreadsheetml/2006/main" count="158" uniqueCount="108">
  <si>
    <t>Client Discovery Document</t>
  </si>
  <si>
    <t>CDD Version</t>
  </si>
  <si>
    <t>Current VS Target  - Key Performance Metrics</t>
  </si>
  <si>
    <t>Onboarding Date</t>
  </si>
  <si>
    <t>24/09/2025</t>
  </si>
  <si>
    <t>Metrics</t>
  </si>
  <si>
    <t>SEO (Organic)</t>
  </si>
  <si>
    <t>SEM (Google Ads)</t>
  </si>
  <si>
    <t>SMM</t>
  </si>
  <si>
    <t>Total</t>
  </si>
  <si>
    <t>CDD Modified Date {if amended}</t>
  </si>
  <si>
    <t xml:space="preserve">Current </t>
  </si>
  <si>
    <t>Target</t>
  </si>
  <si>
    <t>Account Details</t>
  </si>
  <si>
    <t>Spend</t>
  </si>
  <si>
    <t>N/A</t>
  </si>
  <si>
    <t>Business Name</t>
  </si>
  <si>
    <t>Adelaide Plastic Surgery</t>
  </si>
  <si>
    <t>Traffic</t>
  </si>
  <si>
    <t>Website URL</t>
  </si>
  <si>
    <t>https://apsa.com.au/</t>
  </si>
  <si>
    <t>Total Leads</t>
  </si>
  <si>
    <t xml:space="preserve">Account Manager </t>
  </si>
  <si>
    <t>Vivek</t>
  </si>
  <si>
    <t>Total Sales</t>
  </si>
  <si>
    <t>Business Information</t>
  </si>
  <si>
    <t xml:space="preserve">Total Ecom Revenue </t>
  </si>
  <si>
    <t>Industry</t>
  </si>
  <si>
    <t>Plastic Surgeons + Non Surgical Treatments</t>
  </si>
  <si>
    <t>ABV</t>
  </si>
  <si>
    <t>Business Model - Retail,Ecom,Trade,Proff Services,MFG,Wholesale etc</t>
  </si>
  <si>
    <t>Professional Services</t>
  </si>
  <si>
    <t>CPL</t>
  </si>
  <si>
    <t>Business Keywords</t>
  </si>
  <si>
    <t>Skin Rejuvination, Tattoo Removal, Rosacea &amp; Vascular Laser</t>
  </si>
  <si>
    <t>CPS</t>
  </si>
  <si>
    <t>Business Goal</t>
  </si>
  <si>
    <t>SEO: Initial goal is to improve Keyword Ranking and grow organic traffic
SEM: Get more leads</t>
  </si>
  <si>
    <t>ROAS</t>
  </si>
  <si>
    <t xml:space="preserve">What are your top 3 services/Products or profitableServices/ products? </t>
  </si>
  <si>
    <t>We need to focus on Non Surgical Laser Treatments alone as they have Strong Cross Sell Potential for the client &amp; has a better LTV
1) Skin Rejuvination
2) Skin Resurfacing
3) Tattoo Removal
4) Pigmentation &amp; Sun Damage
5) Redness, Rosacea &amp; Broken Capillaries</t>
  </si>
  <si>
    <t>Keywords</t>
  </si>
  <si>
    <t>Products /Services List - For Promotion</t>
  </si>
  <si>
    <t>We need to focus on Non Surgical Laser Treatments alone
1) Skin Rejuvination
2) Skin Resurfacing
3) Tattoo Removal
4) Pigmentation &amp; Sun Damage
5) Redness, Rosacea &amp; Broken Capillaries</t>
  </si>
  <si>
    <t>Targets Geographic Location</t>
  </si>
  <si>
    <t>South Australia</t>
  </si>
  <si>
    <t>Targeted Demographic [Age]</t>
  </si>
  <si>
    <t xml:space="preserve">•	Demographics: Females 35–50, professionals, some younger (20–30) with budgeted cosmetic routines.
•	Income: Generally $80k+ (disposable income varies by family status).
•	Lifestyle: Professionals (time-poor), some without children (higher discretionary spend).
•	Core Desires:
o	Fresher appearance, even skin tone, less makeup needed.
o	Makeup sits better (addresses pore size and wrinkles).
o	Discreet results — “natural” look, not obvious enhancements.
</t>
  </si>
  <si>
    <t>B2B/B2C</t>
  </si>
  <si>
    <t>B2C</t>
  </si>
  <si>
    <t>Industry Targeting</t>
  </si>
  <si>
    <t>Females aging between 35-50, some yonger (20-30) and anyone who has some disposalble income</t>
  </si>
  <si>
    <t>Average Ticket Size</t>
  </si>
  <si>
    <t>$500 - $3000 per session</t>
  </si>
  <si>
    <t>Life Time Value</t>
  </si>
  <si>
    <t>$5000 -$15000</t>
  </si>
  <si>
    <t>Main Mode Of lead - Call/Web form,Walk In,Ecom</t>
  </si>
  <si>
    <t>Web Form, Calls and Referrals</t>
  </si>
  <si>
    <r>
      <t xml:space="preserve">Competitors </t>
    </r>
    <r>
      <rPr>
        <sz val="11"/>
        <rFont val="Calibri"/>
        <family val="2"/>
      </rPr>
      <t>[</t>
    </r>
    <r>
      <rPr>
        <b/>
        <sz val="11"/>
        <rFont val="Calibri"/>
        <family val="2"/>
      </rPr>
      <t>3 minimum</t>
    </r>
    <r>
      <rPr>
        <sz val="11"/>
        <rFont val="Calibri"/>
        <family val="2"/>
      </rPr>
      <t>]</t>
    </r>
  </si>
  <si>
    <t>For Plastic Surgery
https://www.plasticsurgeryadelaide.com/
https://cranfordhouseplasticsurgery.com.au/
https://www.centralsurgery.com.au/
For Laser Treatment, the following clinics [But the client's is a proper hospital with surgeons]
https://www.laserclinics.com.au/
https://laserskinandvein.com.au/
https://silklaser.com.au/</t>
  </si>
  <si>
    <t>Strategy (Double down on Strength or Make Weakness a Strength)</t>
  </si>
  <si>
    <t>Double down on Strength</t>
  </si>
  <si>
    <t>SWOT Analysis</t>
  </si>
  <si>
    <t>Strengths</t>
  </si>
  <si>
    <t>Reputed + Have 9 doctors part of many industry related organisations</t>
  </si>
  <si>
    <t>Weaknesses</t>
  </si>
  <si>
    <t>Lead Capturing and follow-up</t>
  </si>
  <si>
    <t>Opportunities</t>
  </si>
  <si>
    <t>Threats</t>
  </si>
  <si>
    <t>Competing with smaller clinics for Laser treatment services</t>
  </si>
  <si>
    <t>Content Creation</t>
  </si>
  <si>
    <t>Brand Guidelines [Tonality, Audience, any other specific requirements]</t>
  </si>
  <si>
    <t xml:space="preserve">This is a heavily regulated industry and cannot use words linke - Botox, Free Consultation, youthful etc.
Please find to the right of this column a summary sheet mentioning the audience and the kind of copy that we can write - </t>
  </si>
  <si>
    <t>Blogs</t>
  </si>
  <si>
    <t>Sales Promises</t>
  </si>
  <si>
    <t xml:space="preserve">SEO - Improve keyword ranking &amp; traffic
Google Ads - More leads (at least double what's coming through)
</t>
  </si>
  <si>
    <t>GOOGLE ADS</t>
  </si>
  <si>
    <t>Industry?</t>
  </si>
  <si>
    <t>Ecommerce or Service Based Company?</t>
  </si>
  <si>
    <t>Service Based</t>
  </si>
  <si>
    <t>How long have the ads been running?</t>
  </si>
  <si>
    <t>THey were running ads before they came on board with Traffic Radius</t>
  </si>
  <si>
    <t>Current Traffic on the website?</t>
  </si>
  <si>
    <t>Competitors?</t>
  </si>
  <si>
    <t>Top 10-20 performing products/services? Both online and offline put together?</t>
  </si>
  <si>
    <t>1) Skin Rejuvination
2) Skin Resurfacing
3) Tattoo Removal
4) Pigmentation &amp; Sun Damage
5) Redness, Rosacea &amp; Broken Capillaries</t>
  </si>
  <si>
    <t>Top products/services with highest profit margins?</t>
  </si>
  <si>
    <t>Average ticket price of the client?</t>
  </si>
  <si>
    <t xml:space="preserve"> $500 - $3000 per session 	</t>
  </si>
  <si>
    <t>Current sales/leads?</t>
  </si>
  <si>
    <t>25 leads p.m.</t>
  </si>
  <si>
    <t>Location - Australia, Victoria, Melbourne or others?</t>
  </si>
  <si>
    <t>South Australia - Hospital is in Adelaide</t>
  </si>
  <si>
    <t>Target Audience?</t>
  </si>
  <si>
    <t>ROAS or leads expectation set?</t>
  </si>
  <si>
    <t>50 per month</t>
  </si>
  <si>
    <t>Current Budget? Also, is the client flexible to spend more?</t>
  </si>
  <si>
    <t>$2000 - Client is flexible but it is result oriented</t>
  </si>
  <si>
    <t>Timeframe to perform? Realistic expectations please.</t>
  </si>
  <si>
    <t>3 months</t>
  </si>
  <si>
    <t>Relationship with the client?</t>
  </si>
  <si>
    <t>Good but we need to build confidence buy showing results</t>
  </si>
  <si>
    <t>Analytics Access to? (standard access available)</t>
  </si>
  <si>
    <t>Merchant Center access to? (if ecomm) (need to create one)</t>
  </si>
  <si>
    <t>Google Ad Access? (Pending)</t>
  </si>
  <si>
    <t>GTM? (pending)</t>
  </si>
  <si>
    <t>Level of Access? (pending)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</si>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</sst>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[$$-409]* #,##0.00_);_([$$-409]* \(#,##0.00\);_([$$-409]* &quot;-&quot;??_);_(@_)"/>
  </numFmts>
  <fonts count="1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9"/>
      <color rgb="FF000000"/>
      <name val="Calibri"/>
      <family val="2"/>
    </font>
    <font>
      <b/>
      <sz val="16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5"/>
      <color rgb="FFFF0000"/>
      <name val="Aptos Narrow"/>
      <family val="2"/>
      <scheme val="minor"/>
    </font>
    <font>
      <b/>
      <sz val="11"/>
      <name val="Calibri"/>
      <family val="2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b/>
      <u/>
      <sz val="11"/>
      <color theme="10"/>
      <name val="Aptos Narrow"/>
      <family val="2"/>
      <scheme val="minor"/>
    </font>
    <font>
      <b/>
      <sz val="24"/>
      <color theme="1"/>
      <name val="Calibri"/>
      <family val="2"/>
    </font>
    <font>
      <sz val="12"/>
      <color theme="1"/>
      <name val="Aptos"/>
      <family val="2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BE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5">
    <xf numFmtId="0" fontId="0" fillId="0" borderId="0" xfId="0"/>
    <xf numFmtId="0" fontId="6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2" fillId="0" borderId="11" xfId="0" applyFont="1" applyBorder="1"/>
    <xf numFmtId="0" fontId="2" fillId="0" borderId="10" xfId="0" applyFont="1" applyBorder="1"/>
    <xf numFmtId="0" fontId="2" fillId="5" borderId="10" xfId="0" applyFont="1" applyFill="1" applyBorder="1"/>
    <xf numFmtId="0" fontId="2" fillId="5" borderId="12" xfId="0" applyFont="1" applyFill="1" applyBorder="1"/>
    <xf numFmtId="0" fontId="0" fillId="0" borderId="15" xfId="0" applyBorder="1"/>
    <xf numFmtId="3" fontId="0" fillId="5" borderId="10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3" fontId="0" fillId="7" borderId="10" xfId="0" applyNumberForma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3" fontId="0" fillId="8" borderId="10" xfId="0" applyNumberForma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3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0" fillId="0" borderId="10" xfId="0" applyBorder="1"/>
    <xf numFmtId="0" fontId="0" fillId="5" borderId="10" xfId="0" applyFill="1" applyBorder="1" applyAlignment="1" applyProtection="1">
      <alignment horizontal="center" vertical="center"/>
      <protection locked="0"/>
    </xf>
    <xf numFmtId="0" fontId="0" fillId="7" borderId="10" xfId="0" applyFill="1" applyBorder="1" applyAlignment="1" applyProtection="1">
      <alignment horizontal="center" vertical="center"/>
      <protection locked="0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12" xfId="0" applyFill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left" vertical="center"/>
    </xf>
    <xf numFmtId="0" fontId="0" fillId="8" borderId="10" xfId="0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0" fillId="9" borderId="10" xfId="0" applyFill="1" applyBorder="1"/>
    <xf numFmtId="1" fontId="0" fillId="5" borderId="10" xfId="0" applyNumberFormat="1" applyFill="1" applyBorder="1" applyAlignment="1">
      <alignment horizontal="center" vertical="center"/>
    </xf>
    <xf numFmtId="1" fontId="0" fillId="7" borderId="10" xfId="0" applyNumberFormat="1" applyFill="1" applyBorder="1" applyAlignment="1">
      <alignment horizontal="center" vertical="center"/>
    </xf>
    <xf numFmtId="1" fontId="0" fillId="8" borderId="10" xfId="0" applyNumberForma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164" fontId="0" fillId="8" borderId="10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0" fontId="0" fillId="9" borderId="15" xfId="0" applyFill="1" applyBorder="1"/>
    <xf numFmtId="0" fontId="1" fillId="6" borderId="10" xfId="0" applyFont="1" applyFill="1" applyBorder="1" applyAlignment="1" applyProtection="1">
      <alignment horizontal="center" vertical="center"/>
      <protection locked="0"/>
    </xf>
    <xf numFmtId="0" fontId="0" fillId="6" borderId="10" xfId="0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11" fillId="10" borderId="19" xfId="0" applyFont="1" applyFill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12" fillId="10" borderId="28" xfId="0" applyFont="1" applyFill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13" fillId="11" borderId="31" xfId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16" fillId="13" borderId="46" xfId="0" applyFont="1" applyFill="1" applyBorder="1" applyAlignment="1">
      <alignment horizontal="center" wrapText="1"/>
    </xf>
    <xf numFmtId="0" fontId="11" fillId="10" borderId="34" xfId="0" applyFont="1" applyFill="1" applyBorder="1" applyAlignment="1">
      <alignment horizontal="center" vertical="center" wrapText="1"/>
    </xf>
    <xf numFmtId="0" fontId="11" fillId="10" borderId="36" xfId="0" applyFont="1" applyFill="1" applyBorder="1" applyAlignment="1">
      <alignment horizontal="center" vertical="center" wrapText="1"/>
    </xf>
    <xf numFmtId="14" fontId="8" fillId="0" borderId="35" xfId="0" applyNumberFormat="1" applyFont="1" applyBorder="1" applyAlignment="1" applyProtection="1">
      <alignment horizontal="center" vertical="center" wrapText="1"/>
      <protection locked="0"/>
    </xf>
    <xf numFmtId="14" fontId="8" fillId="0" borderId="34" xfId="0" applyNumberFormat="1" applyFont="1" applyBorder="1" applyAlignment="1" applyProtection="1">
      <alignment horizontal="center" vertical="center"/>
      <protection locked="0"/>
    </xf>
    <xf numFmtId="14" fontId="8" fillId="0" borderId="37" xfId="0" applyNumberFormat="1" applyFont="1" applyBorder="1" applyAlignment="1" applyProtection="1">
      <alignment horizontal="center" vertical="center"/>
      <protection locked="0"/>
    </xf>
    <xf numFmtId="14" fontId="8" fillId="0" borderId="36" xfId="0" applyNumberFormat="1" applyFont="1" applyBorder="1" applyAlignment="1" applyProtection="1">
      <alignment horizontal="center" vertical="center"/>
      <protection locked="0"/>
    </xf>
    <xf numFmtId="14" fontId="8" fillId="0" borderId="12" xfId="0" applyNumberFormat="1" applyFont="1" applyBorder="1" applyAlignment="1" applyProtection="1">
      <alignment horizontal="center" vertical="center"/>
      <protection locked="0"/>
    </xf>
    <xf numFmtId="14" fontId="8" fillId="0" borderId="13" xfId="0" applyNumberFormat="1" applyFont="1" applyBorder="1" applyAlignment="1" applyProtection="1">
      <alignment horizontal="center" vertical="center"/>
      <protection locked="0"/>
    </xf>
    <xf numFmtId="14" fontId="8" fillId="0" borderId="12" xfId="0" applyNumberFormat="1" applyFont="1" applyBorder="1" applyAlignment="1" applyProtection="1">
      <alignment horizontal="center" vertical="center" wrapText="1"/>
      <protection locked="0"/>
    </xf>
    <xf numFmtId="14" fontId="8" fillId="0" borderId="11" xfId="0" applyNumberFormat="1" applyFont="1" applyBorder="1" applyAlignment="1" applyProtection="1">
      <alignment horizontal="center" vertical="center"/>
      <protection locked="0"/>
    </xf>
    <xf numFmtId="14" fontId="8" fillId="0" borderId="18" xfId="0" applyNumberFormat="1" applyFont="1" applyBorder="1" applyAlignment="1" applyProtection="1">
      <alignment horizontal="center" vertical="center"/>
      <protection locked="0"/>
    </xf>
    <xf numFmtId="14" fontId="8" fillId="10" borderId="20" xfId="0" applyNumberFormat="1" applyFont="1" applyFill="1" applyBorder="1" applyAlignment="1">
      <alignment horizontal="center" vertical="center"/>
    </xf>
    <xf numFmtId="14" fontId="8" fillId="10" borderId="21" xfId="0" applyNumberFormat="1" applyFont="1" applyFill="1" applyBorder="1" applyAlignment="1">
      <alignment horizontal="center" vertical="center"/>
    </xf>
    <xf numFmtId="14" fontId="8" fillId="0" borderId="23" xfId="0" applyNumberFormat="1" applyFont="1" applyBorder="1" applyAlignment="1" applyProtection="1">
      <alignment horizontal="center" vertical="center"/>
      <protection locked="0"/>
    </xf>
    <xf numFmtId="14" fontId="8" fillId="0" borderId="24" xfId="0" applyNumberFormat="1" applyFont="1" applyBorder="1" applyAlignment="1" applyProtection="1">
      <alignment horizontal="center" vertical="center"/>
      <protection locked="0"/>
    </xf>
    <xf numFmtId="14" fontId="8" fillId="0" borderId="26" xfId="0" applyNumberFormat="1" applyFont="1" applyBorder="1" applyAlignment="1" applyProtection="1">
      <alignment horizontal="center" vertical="center"/>
      <protection locked="0"/>
    </xf>
    <xf numFmtId="14" fontId="8" fillId="0" borderId="27" xfId="0" applyNumberFormat="1" applyFont="1" applyBorder="1" applyAlignment="1" applyProtection="1">
      <alignment horizontal="center" vertical="center"/>
      <protection locked="0"/>
    </xf>
    <xf numFmtId="14" fontId="8" fillId="10" borderId="29" xfId="0" applyNumberFormat="1" applyFont="1" applyFill="1" applyBorder="1" applyAlignment="1">
      <alignment horizontal="center" vertical="center"/>
    </xf>
    <xf numFmtId="14" fontId="8" fillId="0" borderId="33" xfId="0" applyNumberFormat="1" applyFont="1" applyBorder="1" applyAlignment="1" applyProtection="1">
      <alignment horizontal="center" vertical="center"/>
      <protection locked="0"/>
    </xf>
    <xf numFmtId="165" fontId="8" fillId="0" borderId="12" xfId="0" applyNumberFormat="1" applyFont="1" applyBorder="1" applyAlignment="1" applyProtection="1">
      <alignment horizontal="center" vertical="center"/>
      <protection locked="0"/>
    </xf>
    <xf numFmtId="165" fontId="8" fillId="0" borderId="13" xfId="0" applyNumberFormat="1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wrapText="1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2" fillId="5" borderId="12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 wrapText="1"/>
    </xf>
    <xf numFmtId="0" fontId="2" fillId="6" borderId="1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4" fontId="3" fillId="0" borderId="12" xfId="1" applyNumberFormat="1" applyBorder="1" applyAlignment="1" applyProtection="1">
      <alignment horizontal="center" vertical="center"/>
      <protection locked="0"/>
    </xf>
    <xf numFmtId="14" fontId="3" fillId="0" borderId="13" xfId="1" applyNumberFormat="1" applyBorder="1" applyAlignment="1" applyProtection="1">
      <alignment horizontal="center" vertical="center"/>
      <protection locked="0"/>
    </xf>
    <xf numFmtId="14" fontId="8" fillId="0" borderId="10" xfId="0" applyNumberFormat="1" applyFont="1" applyBorder="1" applyAlignment="1" applyProtection="1">
      <alignment horizontal="center" vertical="center"/>
      <protection locked="0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47" xfId="0" applyBorder="1" applyAlignment="1">
      <alignment horizontal="center"/>
    </xf>
    <xf numFmtId="0" fontId="15" fillId="13" borderId="40" xfId="0" applyFont="1" applyFill="1" applyBorder="1" applyAlignment="1">
      <alignment horizontal="center" vertical="center" wrapText="1"/>
    </xf>
    <xf numFmtId="0" fontId="15" fillId="13" borderId="44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4" fillId="12" borderId="38" xfId="0" applyFont="1" applyFill="1" applyBorder="1" applyAlignment="1">
      <alignment horizontal="center" wrapText="1"/>
    </xf>
    <xf numFmtId="0" fontId="14" fillId="12" borderId="3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7230-F03B-401E-89DA-D7B132E4CCFB}">
  <dimension ref="A1:N35"/>
  <sheetViews>
    <sheetView tabSelected="1" topLeftCell="A3" workbookViewId="0">
      <selection activeCell="F32" sqref="F32"/>
    </sheetView>
  </sheetViews>
  <sheetFormatPr defaultRowHeight="14.45"/>
  <cols>
    <col min="1" max="1" width="40.7109375" customWidth="1"/>
    <col min="2" max="2" width="37.85546875" customWidth="1"/>
    <col min="4" max="4" width="92.28515625" customWidth="1"/>
  </cols>
  <sheetData>
    <row r="1" spans="1:14">
      <c r="A1" s="74" t="s">
        <v>0</v>
      </c>
      <c r="B1" s="75"/>
      <c r="C1" s="76"/>
    </row>
    <row r="2" spans="1:14">
      <c r="A2" s="77"/>
      <c r="B2" s="78"/>
      <c r="C2" s="79"/>
    </row>
    <row r="3" spans="1:14" ht="21">
      <c r="A3" s="72" t="s">
        <v>1</v>
      </c>
      <c r="B3" s="73"/>
      <c r="C3" s="73"/>
      <c r="D3" s="73"/>
      <c r="F3" s="73" t="s">
        <v>2</v>
      </c>
      <c r="G3" s="73"/>
      <c r="H3" s="73"/>
      <c r="I3" s="73"/>
      <c r="J3" s="73"/>
      <c r="K3" s="73"/>
      <c r="L3" s="73"/>
      <c r="M3" s="73"/>
      <c r="N3" s="73"/>
    </row>
    <row r="4" spans="1:14">
      <c r="A4" s="1">
        <v>1</v>
      </c>
      <c r="B4" s="2" t="s">
        <v>3</v>
      </c>
      <c r="C4" s="80" t="s">
        <v>4</v>
      </c>
      <c r="D4" s="80"/>
      <c r="F4" s="3" t="s">
        <v>5</v>
      </c>
      <c r="G4" s="81" t="s">
        <v>6</v>
      </c>
      <c r="H4" s="82"/>
      <c r="I4" s="81" t="s">
        <v>7</v>
      </c>
      <c r="J4" s="82"/>
      <c r="K4" s="81" t="s">
        <v>8</v>
      </c>
      <c r="L4" s="82"/>
      <c r="M4" s="83" t="s">
        <v>9</v>
      </c>
      <c r="N4" s="84"/>
    </row>
    <row r="5" spans="1:14">
      <c r="A5" s="1">
        <v>2</v>
      </c>
      <c r="B5" s="2" t="s">
        <v>10</v>
      </c>
      <c r="C5" s="80"/>
      <c r="D5" s="80"/>
      <c r="F5" s="4"/>
      <c r="G5" s="5" t="s">
        <v>11</v>
      </c>
      <c r="H5" s="5" t="s">
        <v>12</v>
      </c>
      <c r="I5" s="5" t="s">
        <v>11</v>
      </c>
      <c r="J5" s="5" t="s">
        <v>12</v>
      </c>
      <c r="K5" s="5" t="s">
        <v>11</v>
      </c>
      <c r="L5" s="6" t="s">
        <v>12</v>
      </c>
      <c r="M5" s="5" t="s">
        <v>11</v>
      </c>
      <c r="N5" s="5" t="s">
        <v>12</v>
      </c>
    </row>
    <row r="6" spans="1:14" ht="21">
      <c r="A6" s="72" t="s">
        <v>13</v>
      </c>
      <c r="B6" s="73"/>
      <c r="C6" s="73"/>
      <c r="D6" s="73"/>
      <c r="F6" s="7" t="s">
        <v>14</v>
      </c>
      <c r="G6" s="8">
        <f>B43</f>
        <v>0</v>
      </c>
      <c r="H6" s="9" t="s">
        <v>15</v>
      </c>
      <c r="I6" s="10">
        <f>(C43)</f>
        <v>0</v>
      </c>
      <c r="J6" s="11" t="s">
        <v>15</v>
      </c>
      <c r="K6" s="12">
        <f>(D43)</f>
        <v>0</v>
      </c>
      <c r="L6" s="13" t="s">
        <v>15</v>
      </c>
      <c r="M6" s="14">
        <f>SUM(G6,I6,K6)</f>
        <v>0</v>
      </c>
      <c r="N6" s="15" t="s">
        <v>15</v>
      </c>
    </row>
    <row r="7" spans="1:14">
      <c r="A7" s="16">
        <v>1</v>
      </c>
      <c r="B7" s="17" t="s">
        <v>16</v>
      </c>
      <c r="C7" s="54" t="s">
        <v>17</v>
      </c>
      <c r="D7" s="55"/>
      <c r="F7" s="18" t="s">
        <v>18</v>
      </c>
      <c r="G7" s="19">
        <v>4000</v>
      </c>
      <c r="H7" s="19">
        <v>6000</v>
      </c>
      <c r="I7" s="20" t="s">
        <v>15</v>
      </c>
      <c r="J7" s="20" t="s">
        <v>15</v>
      </c>
      <c r="K7" s="21" t="s">
        <v>15</v>
      </c>
      <c r="L7" s="22" t="s">
        <v>15</v>
      </c>
      <c r="M7" s="15">
        <f>SUM(G7,I7,K7)</f>
        <v>4000</v>
      </c>
      <c r="N7" s="15">
        <f>SUM(H7,J7,L7)</f>
        <v>6000</v>
      </c>
    </row>
    <row r="8" spans="1:14">
      <c r="A8" s="16">
        <v>2</v>
      </c>
      <c r="B8" s="17" t="s">
        <v>19</v>
      </c>
      <c r="C8" s="85" t="s">
        <v>20</v>
      </c>
      <c r="D8" s="86"/>
      <c r="F8" s="18" t="s">
        <v>21</v>
      </c>
      <c r="G8" s="19">
        <v>5</v>
      </c>
      <c r="H8" s="19">
        <v>15</v>
      </c>
      <c r="I8" s="20">
        <v>25</v>
      </c>
      <c r="J8" s="20">
        <v>40</v>
      </c>
      <c r="K8" s="21" t="s">
        <v>15</v>
      </c>
      <c r="L8" s="22" t="s">
        <v>15</v>
      </c>
      <c r="M8" s="15">
        <f>SUM(G8,I8,K8)</f>
        <v>30</v>
      </c>
      <c r="N8" s="15">
        <f>SUM(H8,J8,L8)</f>
        <v>55</v>
      </c>
    </row>
    <row r="9" spans="1:14">
      <c r="A9" s="1">
        <v>3</v>
      </c>
      <c r="B9" s="23" t="s">
        <v>22</v>
      </c>
      <c r="C9" s="87" t="s">
        <v>23</v>
      </c>
      <c r="D9" s="87"/>
      <c r="F9" s="18" t="s">
        <v>24</v>
      </c>
      <c r="G9" s="19" t="s">
        <v>15</v>
      </c>
      <c r="H9" s="19" t="s">
        <v>15</v>
      </c>
      <c r="I9" s="20" t="s">
        <v>15</v>
      </c>
      <c r="J9" s="20" t="s">
        <v>15</v>
      </c>
      <c r="K9" s="21" t="s">
        <v>15</v>
      </c>
      <c r="L9" s="22" t="s">
        <v>15</v>
      </c>
      <c r="M9" s="15">
        <f>SUM(G9,I9,K9)</f>
        <v>0</v>
      </c>
      <c r="N9" s="15">
        <f>SUM(H9,J9,L9)</f>
        <v>0</v>
      </c>
    </row>
    <row r="10" spans="1:14" ht="21">
      <c r="A10" s="72" t="s">
        <v>25</v>
      </c>
      <c r="B10" s="73"/>
      <c r="C10" s="73"/>
      <c r="D10" s="73"/>
      <c r="F10" s="18" t="s">
        <v>26</v>
      </c>
      <c r="G10" s="19" t="s">
        <v>15</v>
      </c>
      <c r="H10" s="19" t="s">
        <v>15</v>
      </c>
      <c r="I10" s="11" t="str">
        <f>(G10)</f>
        <v>N/A</v>
      </c>
      <c r="J10" s="11" t="str">
        <f>H10</f>
        <v>N/A</v>
      </c>
      <c r="K10" s="24" t="str">
        <f t="shared" ref="K10" si="0">(I10)</f>
        <v>N/A</v>
      </c>
      <c r="L10" s="13" t="str">
        <f t="shared" ref="L10" si="1">J10</f>
        <v>N/A</v>
      </c>
      <c r="M10" s="15" t="str">
        <f t="shared" ref="M10" si="2">(K10)</f>
        <v>N/A</v>
      </c>
      <c r="N10" s="15" t="str">
        <f t="shared" ref="N10" si="3">L10</f>
        <v>N/A</v>
      </c>
    </row>
    <row r="11" spans="1:14">
      <c r="A11" s="16">
        <v>1</v>
      </c>
      <c r="B11" s="17" t="s">
        <v>27</v>
      </c>
      <c r="C11" s="54" t="s">
        <v>28</v>
      </c>
      <c r="D11" s="55"/>
      <c r="F11" s="18" t="s">
        <v>29</v>
      </c>
      <c r="G11" s="19" t="s">
        <v>15</v>
      </c>
      <c r="H11" s="19" t="s">
        <v>15</v>
      </c>
      <c r="I11" s="11" t="str">
        <f>G11</f>
        <v>N/A</v>
      </c>
      <c r="J11" s="11" t="str">
        <f>H11</f>
        <v>N/A</v>
      </c>
      <c r="K11" s="24" t="str">
        <f>G11</f>
        <v>N/A</v>
      </c>
      <c r="L11" s="13" t="str">
        <f>H11</f>
        <v>N/A</v>
      </c>
      <c r="M11" s="15" t="str">
        <f>G11</f>
        <v>N/A</v>
      </c>
      <c r="N11" s="15" t="str">
        <f>H11</f>
        <v>N/A</v>
      </c>
    </row>
    <row r="12" spans="1:14" ht="130.5">
      <c r="A12" s="16">
        <v>2</v>
      </c>
      <c r="B12" s="25" t="s">
        <v>30</v>
      </c>
      <c r="C12" s="54" t="s">
        <v>31</v>
      </c>
      <c r="D12" s="55"/>
      <c r="F12" s="26" t="s">
        <v>32</v>
      </c>
      <c r="G12" s="27">
        <f>IFERROR((G6/G8),0)</f>
        <v>0</v>
      </c>
      <c r="H12" s="27">
        <f>IFERROR((G6/H8),0)</f>
        <v>0</v>
      </c>
      <c r="I12" s="28">
        <f>IFERROR((I6/I8),0)</f>
        <v>0</v>
      </c>
      <c r="J12" s="28">
        <f>IFERROR((I6/J8),0)</f>
        <v>0</v>
      </c>
      <c r="K12" s="29">
        <f>IFERROR((K6/K8),0)</f>
        <v>0</v>
      </c>
      <c r="L12" s="29">
        <f>IFERROR((K6/L8),0)</f>
        <v>0</v>
      </c>
      <c r="M12" s="30">
        <f>IFERROR((M6/M8),0)</f>
        <v>0</v>
      </c>
      <c r="N12" s="30">
        <f t="shared" ref="N12" si="4">IFERROR((N6/N8),0)</f>
        <v>0</v>
      </c>
    </row>
    <row r="13" spans="1:14" ht="43.5">
      <c r="A13" s="16"/>
      <c r="B13" s="25" t="s">
        <v>33</v>
      </c>
      <c r="C13" s="54" t="s">
        <v>34</v>
      </c>
      <c r="D13" s="55"/>
      <c r="F13" s="26" t="s">
        <v>35</v>
      </c>
      <c r="G13" s="27">
        <f>IFERROR((G6/(G9/G11)),0)</f>
        <v>0</v>
      </c>
      <c r="H13" s="27">
        <f>IFERROR((G6/(H9/H11)),0)</f>
        <v>0</v>
      </c>
      <c r="I13" s="28">
        <f>IFERROR((I6/(I9/I11)),0)</f>
        <v>0</v>
      </c>
      <c r="J13" s="28">
        <f>IFERROR((I6/(J9/J11)),0)</f>
        <v>0</v>
      </c>
      <c r="K13" s="29">
        <f>IFERROR((K6/(K9/K11)),0)</f>
        <v>0</v>
      </c>
      <c r="L13" s="29">
        <f>IFERROR((K6/(L9/L11)),0)</f>
        <v>0</v>
      </c>
      <c r="M13" s="30">
        <f>IFERROR((M6/(M9/M11)),0)</f>
        <v>0</v>
      </c>
      <c r="N13" s="30">
        <f t="shared" ref="N13" si="5">IFERROR((N6/(N9/N11)),0)</f>
        <v>0</v>
      </c>
    </row>
    <row r="14" spans="1:14" ht="69.75" customHeight="1">
      <c r="A14" s="16"/>
      <c r="B14" s="25" t="s">
        <v>36</v>
      </c>
      <c r="C14" s="56" t="s">
        <v>37</v>
      </c>
      <c r="D14" s="55"/>
      <c r="F14" s="26" t="s">
        <v>38</v>
      </c>
      <c r="G14" s="31">
        <f>IFERROR((G9/G6),0)</f>
        <v>0</v>
      </c>
      <c r="H14" s="31">
        <f>IFERROR((H9/G6),0)</f>
        <v>0</v>
      </c>
      <c r="I14" s="32">
        <f t="shared" ref="I14:N14" si="6">IFERROR((I9/I6),0)</f>
        <v>0</v>
      </c>
      <c r="J14" s="32">
        <f>IFERROR((J9/I6),0)</f>
        <v>0</v>
      </c>
      <c r="K14" s="33">
        <f>IFERROR((K9/K6),0)</f>
        <v>0</v>
      </c>
      <c r="L14" s="33">
        <f>IFERROR((L9/K6),0)</f>
        <v>0</v>
      </c>
      <c r="M14" s="34">
        <f>IFERROR((M9/M6),0)</f>
        <v>0</v>
      </c>
      <c r="N14" s="34">
        <f t="shared" si="6"/>
        <v>0</v>
      </c>
    </row>
    <row r="15" spans="1:14" ht="123.75" customHeight="1">
      <c r="A15" s="16">
        <v>3</v>
      </c>
      <c r="B15" s="25" t="s">
        <v>39</v>
      </c>
      <c r="C15" s="56" t="s">
        <v>40</v>
      </c>
      <c r="D15" s="55"/>
      <c r="F15" s="35" t="s">
        <v>41</v>
      </c>
      <c r="G15" s="19" t="s">
        <v>15</v>
      </c>
      <c r="H15" s="19"/>
      <c r="I15" s="20"/>
      <c r="J15" s="20"/>
      <c r="K15" s="21"/>
      <c r="L15" s="22"/>
      <c r="M15" s="36"/>
      <c r="N15" s="37"/>
    </row>
    <row r="16" spans="1:14" ht="107.25" customHeight="1">
      <c r="A16" s="16">
        <v>4</v>
      </c>
      <c r="B16" s="17" t="s">
        <v>42</v>
      </c>
      <c r="C16" s="56" t="s">
        <v>43</v>
      </c>
      <c r="D16" s="55"/>
      <c r="F16" s="35"/>
      <c r="G16" s="38"/>
      <c r="H16" s="38"/>
      <c r="I16" s="38"/>
      <c r="J16" s="38"/>
      <c r="K16" s="38"/>
      <c r="L16" s="38"/>
      <c r="M16" s="38"/>
      <c r="N16" s="38"/>
    </row>
    <row r="17" spans="1:6">
      <c r="A17" s="16">
        <v>5</v>
      </c>
      <c r="B17" s="17" t="s">
        <v>44</v>
      </c>
      <c r="C17" s="54" t="s">
        <v>45</v>
      </c>
      <c r="D17" s="55"/>
    </row>
    <row r="18" spans="1:6" ht="137.25" customHeight="1">
      <c r="A18" s="16">
        <v>6</v>
      </c>
      <c r="B18" s="17" t="s">
        <v>46</v>
      </c>
      <c r="C18" s="69" t="s">
        <v>47</v>
      </c>
      <c r="D18" s="70"/>
    </row>
    <row r="19" spans="1:6">
      <c r="A19" s="16">
        <v>7</v>
      </c>
      <c r="B19" s="18" t="s">
        <v>48</v>
      </c>
      <c r="C19" s="71" t="s">
        <v>49</v>
      </c>
      <c r="D19" s="70"/>
    </row>
    <row r="20" spans="1:6">
      <c r="A20" s="16">
        <v>8</v>
      </c>
      <c r="B20" s="18" t="s">
        <v>50</v>
      </c>
      <c r="C20" s="71" t="s">
        <v>51</v>
      </c>
      <c r="D20" s="70"/>
    </row>
    <row r="21" spans="1:6">
      <c r="A21" s="16">
        <v>9</v>
      </c>
      <c r="B21" s="17" t="s">
        <v>52</v>
      </c>
      <c r="C21" s="67" t="s">
        <v>53</v>
      </c>
      <c r="D21" s="68"/>
    </row>
    <row r="22" spans="1:6">
      <c r="A22" s="16">
        <v>10</v>
      </c>
      <c r="B22" s="17" t="s">
        <v>54</v>
      </c>
      <c r="C22" s="67" t="s">
        <v>55</v>
      </c>
      <c r="D22" s="68"/>
    </row>
    <row r="23" spans="1:6" ht="26.25" customHeight="1">
      <c r="A23" s="16">
        <v>11</v>
      </c>
      <c r="B23" s="25" t="s">
        <v>56</v>
      </c>
      <c r="C23" s="54" t="s">
        <v>57</v>
      </c>
      <c r="D23" s="55"/>
    </row>
    <row r="24" spans="1:6" ht="140.25" customHeight="1">
      <c r="A24" s="16">
        <v>12</v>
      </c>
      <c r="B24" s="17" t="s">
        <v>58</v>
      </c>
      <c r="C24" s="56" t="s">
        <v>59</v>
      </c>
      <c r="D24" s="55"/>
    </row>
    <row r="25" spans="1:6" ht="116.45" thickBot="1">
      <c r="A25" s="16">
        <v>13</v>
      </c>
      <c r="B25" s="39" t="s">
        <v>60</v>
      </c>
      <c r="C25" s="57" t="s">
        <v>61</v>
      </c>
      <c r="D25" s="58"/>
    </row>
    <row r="26" spans="1:6" ht="93.95">
      <c r="A26" s="16">
        <v>14</v>
      </c>
      <c r="B26" s="40" t="s">
        <v>62</v>
      </c>
      <c r="C26" s="59"/>
      <c r="D26" s="60"/>
    </row>
    <row r="27" spans="1:6">
      <c r="A27" s="16">
        <v>15</v>
      </c>
      <c r="B27" s="41" t="s">
        <v>63</v>
      </c>
      <c r="C27" s="61" t="s">
        <v>64</v>
      </c>
      <c r="D27" s="62"/>
    </row>
    <row r="28" spans="1:6" ht="29.1">
      <c r="A28" s="16">
        <v>16</v>
      </c>
      <c r="B28" s="41" t="s">
        <v>65</v>
      </c>
      <c r="C28" s="61" t="s">
        <v>66</v>
      </c>
      <c r="D28" s="62"/>
    </row>
    <row r="29" spans="1:6" ht="29.1">
      <c r="A29" s="16">
        <v>17</v>
      </c>
      <c r="B29" s="41" t="s">
        <v>67</v>
      </c>
      <c r="C29" s="61"/>
      <c r="D29" s="62"/>
    </row>
    <row r="30" spans="1:6" ht="15" thickBot="1">
      <c r="A30" s="16">
        <v>18</v>
      </c>
      <c r="B30" s="42" t="s">
        <v>68</v>
      </c>
      <c r="C30" s="63" t="s">
        <v>69</v>
      </c>
      <c r="D30" s="64"/>
    </row>
    <row r="31" spans="1:6" ht="104.45" thickBot="1">
      <c r="A31" s="16">
        <v>19</v>
      </c>
      <c r="B31" s="43" t="s">
        <v>70</v>
      </c>
      <c r="C31" s="65"/>
      <c r="D31" s="60"/>
    </row>
    <row r="32" spans="1:6" ht="74.25" customHeight="1" thickBot="1">
      <c r="A32" s="16">
        <v>20</v>
      </c>
      <c r="B32" s="44" t="s">
        <v>71</v>
      </c>
      <c r="C32" s="56" t="s">
        <v>72</v>
      </c>
      <c r="D32" s="62"/>
      <c r="F32" s="45"/>
    </row>
    <row r="33" spans="1:4" ht="15" thickBot="1">
      <c r="A33" s="16">
        <v>21</v>
      </c>
      <c r="B33" s="46" t="s">
        <v>73</v>
      </c>
      <c r="C33" s="66"/>
      <c r="D33" s="64"/>
    </row>
    <row r="34" spans="1:4">
      <c r="A34" s="16">
        <v>22</v>
      </c>
      <c r="B34" s="48" t="s">
        <v>74</v>
      </c>
      <c r="C34" s="50" t="s">
        <v>75</v>
      </c>
      <c r="D34" s="51"/>
    </row>
    <row r="35" spans="1:4" ht="27.75" customHeight="1">
      <c r="A35" s="16">
        <v>23</v>
      </c>
      <c r="B35" s="49"/>
      <c r="C35" s="52"/>
      <c r="D35" s="53"/>
    </row>
  </sheetData>
  <mergeCells count="39">
    <mergeCell ref="A10:D10"/>
    <mergeCell ref="A1:C2"/>
    <mergeCell ref="A3:D3"/>
    <mergeCell ref="F3:N3"/>
    <mergeCell ref="C4:D4"/>
    <mergeCell ref="G4:H4"/>
    <mergeCell ref="I4:J4"/>
    <mergeCell ref="K4:L4"/>
    <mergeCell ref="M4:N4"/>
    <mergeCell ref="C5:D5"/>
    <mergeCell ref="A6:D6"/>
    <mergeCell ref="C7:D7"/>
    <mergeCell ref="C8:D8"/>
    <mergeCell ref="C9:D9"/>
    <mergeCell ref="C22:D22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34:B35"/>
    <mergeCell ref="C34:D35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100C-70A4-472C-AD39-51382FD1939C}">
  <dimension ref="B2:G38"/>
  <sheetViews>
    <sheetView topLeftCell="A27" workbookViewId="0"/>
  </sheetViews>
  <sheetFormatPr defaultRowHeight="14.45"/>
  <cols>
    <col min="2" max="2" width="47.5703125" customWidth="1"/>
    <col min="7" max="7" width="52.140625" customWidth="1"/>
  </cols>
  <sheetData>
    <row r="2" spans="2:7" ht="15" thickBot="1"/>
    <row r="3" spans="2:7" ht="31.5" thickBot="1">
      <c r="B3" s="103" t="s">
        <v>76</v>
      </c>
      <c r="C3" s="104"/>
      <c r="D3" s="104"/>
      <c r="E3" s="104"/>
      <c r="F3" s="104"/>
      <c r="G3" s="104"/>
    </row>
    <row r="4" spans="2:7">
      <c r="B4" s="95" t="s">
        <v>77</v>
      </c>
      <c r="C4" s="88" t="s">
        <v>28</v>
      </c>
      <c r="D4" s="89"/>
      <c r="E4" s="89"/>
      <c r="F4" s="89"/>
      <c r="G4" s="90"/>
    </row>
    <row r="5" spans="2:7" ht="15" thickBot="1">
      <c r="B5" s="96"/>
      <c r="C5" s="91"/>
      <c r="D5" s="92"/>
      <c r="E5" s="92"/>
      <c r="F5" s="92"/>
      <c r="G5" s="93"/>
    </row>
    <row r="6" spans="2:7">
      <c r="B6" s="95" t="s">
        <v>78</v>
      </c>
      <c r="C6" s="88" t="s">
        <v>79</v>
      </c>
      <c r="D6" s="89"/>
      <c r="E6" s="89"/>
      <c r="F6" s="89"/>
      <c r="G6" s="90"/>
    </row>
    <row r="7" spans="2:7" ht="15" thickBot="1">
      <c r="B7" s="96"/>
      <c r="C7" s="91"/>
      <c r="D7" s="92"/>
      <c r="E7" s="92"/>
      <c r="F7" s="92"/>
      <c r="G7" s="93"/>
    </row>
    <row r="8" spans="2:7">
      <c r="B8" s="95" t="s">
        <v>80</v>
      </c>
      <c r="C8" s="88" t="s">
        <v>81</v>
      </c>
      <c r="D8" s="89"/>
      <c r="E8" s="89"/>
      <c r="F8" s="89"/>
      <c r="G8" s="90"/>
    </row>
    <row r="9" spans="2:7" ht="15" thickBot="1">
      <c r="B9" s="96"/>
      <c r="C9" s="91"/>
      <c r="D9" s="92"/>
      <c r="E9" s="92"/>
      <c r="F9" s="92"/>
      <c r="G9" s="93"/>
    </row>
    <row r="10" spans="2:7">
      <c r="B10" s="95" t="s">
        <v>82</v>
      </c>
      <c r="C10" s="88" t="s">
        <v>15</v>
      </c>
      <c r="D10" s="89"/>
      <c r="E10" s="89"/>
      <c r="F10" s="89"/>
      <c r="G10" s="90"/>
    </row>
    <row r="11" spans="2:7" ht="15" thickBot="1">
      <c r="B11" s="96"/>
      <c r="C11" s="91"/>
      <c r="D11" s="92"/>
      <c r="E11" s="92"/>
      <c r="F11" s="92"/>
      <c r="G11" s="93"/>
    </row>
    <row r="12" spans="2:7">
      <c r="B12" s="95" t="s">
        <v>83</v>
      </c>
      <c r="C12" s="88" t="s">
        <v>59</v>
      </c>
      <c r="D12" s="89"/>
      <c r="E12" s="89"/>
      <c r="F12" s="89"/>
      <c r="G12" s="90"/>
    </row>
    <row r="13" spans="2:7" ht="157.5" customHeight="1" thickBot="1">
      <c r="B13" s="96"/>
      <c r="C13" s="91"/>
      <c r="D13" s="92"/>
      <c r="E13" s="92"/>
      <c r="F13" s="92"/>
      <c r="G13" s="93"/>
    </row>
    <row r="14" spans="2:7">
      <c r="B14" s="95" t="s">
        <v>84</v>
      </c>
      <c r="C14" s="88" t="s">
        <v>85</v>
      </c>
      <c r="D14" s="89"/>
      <c r="E14" s="89"/>
      <c r="F14" s="89"/>
      <c r="G14" s="90"/>
    </row>
    <row r="15" spans="2:7" ht="83.25" customHeight="1" thickBot="1">
      <c r="B15" s="96"/>
      <c r="C15" s="91"/>
      <c r="D15" s="92"/>
      <c r="E15" s="92"/>
      <c r="F15" s="92"/>
      <c r="G15" s="93"/>
    </row>
    <row r="16" spans="2:7">
      <c r="B16" s="95" t="s">
        <v>86</v>
      </c>
      <c r="C16" s="88" t="s">
        <v>85</v>
      </c>
      <c r="D16" s="89"/>
      <c r="E16" s="89"/>
      <c r="F16" s="89"/>
      <c r="G16" s="90"/>
    </row>
    <row r="17" spans="2:7" ht="77.25" customHeight="1" thickBot="1">
      <c r="B17" s="96"/>
      <c r="C17" s="91"/>
      <c r="D17" s="92"/>
      <c r="E17" s="92"/>
      <c r="F17" s="92"/>
      <c r="G17" s="93"/>
    </row>
    <row r="18" spans="2:7" ht="55.5" customHeight="1">
      <c r="B18" s="95" t="s">
        <v>87</v>
      </c>
      <c r="C18" s="97" t="s">
        <v>88</v>
      </c>
      <c r="D18" s="98"/>
      <c r="E18" s="98"/>
      <c r="F18" s="98"/>
      <c r="G18" s="99"/>
    </row>
    <row r="19" spans="2:7" ht="15" thickBot="1">
      <c r="B19" s="96"/>
      <c r="C19" s="100"/>
      <c r="D19" s="101"/>
      <c r="E19" s="101"/>
      <c r="F19" s="101"/>
      <c r="G19" s="102"/>
    </row>
    <row r="20" spans="2:7">
      <c r="B20" s="95" t="s">
        <v>89</v>
      </c>
      <c r="C20" s="88" t="s">
        <v>90</v>
      </c>
      <c r="D20" s="89"/>
      <c r="E20" s="89"/>
      <c r="F20" s="89"/>
      <c r="G20" s="90"/>
    </row>
    <row r="21" spans="2:7" ht="15" thickBot="1">
      <c r="B21" s="96"/>
      <c r="C21" s="91"/>
      <c r="D21" s="92"/>
      <c r="E21" s="92"/>
      <c r="F21" s="92"/>
      <c r="G21" s="93"/>
    </row>
    <row r="22" spans="2:7">
      <c r="B22" s="95" t="s">
        <v>91</v>
      </c>
      <c r="C22" s="88" t="s">
        <v>92</v>
      </c>
      <c r="D22" s="89"/>
      <c r="E22" s="89"/>
      <c r="F22" s="89"/>
      <c r="G22" s="90"/>
    </row>
    <row r="23" spans="2:7" ht="15" thickBot="1">
      <c r="B23" s="96"/>
      <c r="C23" s="91"/>
      <c r="D23" s="92"/>
      <c r="E23" s="92"/>
      <c r="F23" s="92"/>
      <c r="G23" s="93"/>
    </row>
    <row r="24" spans="2:7">
      <c r="B24" s="95" t="s">
        <v>93</v>
      </c>
      <c r="C24" s="88" t="s">
        <v>47</v>
      </c>
      <c r="D24" s="89"/>
      <c r="E24" s="89"/>
      <c r="F24" s="89"/>
      <c r="G24" s="90"/>
    </row>
    <row r="25" spans="2:7" ht="120.75" customHeight="1" thickBot="1">
      <c r="B25" s="96"/>
      <c r="C25" s="91"/>
      <c r="D25" s="92"/>
      <c r="E25" s="92"/>
      <c r="F25" s="92"/>
      <c r="G25" s="93"/>
    </row>
    <row r="26" spans="2:7">
      <c r="B26" s="95" t="s">
        <v>94</v>
      </c>
      <c r="C26" s="88" t="s">
        <v>95</v>
      </c>
      <c r="D26" s="89"/>
      <c r="E26" s="89"/>
      <c r="F26" s="89"/>
      <c r="G26" s="90"/>
    </row>
    <row r="27" spans="2:7" ht="15" thickBot="1">
      <c r="B27" s="96"/>
      <c r="C27" s="91"/>
      <c r="D27" s="92"/>
      <c r="E27" s="92"/>
      <c r="F27" s="92"/>
      <c r="G27" s="93"/>
    </row>
    <row r="28" spans="2:7">
      <c r="B28" s="95" t="s">
        <v>96</v>
      </c>
      <c r="C28" s="88" t="s">
        <v>97</v>
      </c>
      <c r="D28" s="89"/>
      <c r="E28" s="89"/>
      <c r="F28" s="89"/>
      <c r="G28" s="90"/>
    </row>
    <row r="29" spans="2:7" ht="15" thickBot="1">
      <c r="B29" s="96"/>
      <c r="C29" s="91"/>
      <c r="D29" s="92"/>
      <c r="E29" s="92"/>
      <c r="F29" s="92"/>
      <c r="G29" s="93"/>
    </row>
    <row r="30" spans="2:7">
      <c r="B30" s="95" t="s">
        <v>98</v>
      </c>
      <c r="C30" s="88" t="s">
        <v>99</v>
      </c>
      <c r="D30" s="89"/>
      <c r="E30" s="89"/>
      <c r="F30" s="89"/>
      <c r="G30" s="90"/>
    </row>
    <row r="31" spans="2:7" ht="15" thickBot="1">
      <c r="B31" s="96"/>
      <c r="C31" s="91"/>
      <c r="D31" s="92"/>
      <c r="E31" s="92"/>
      <c r="F31" s="92"/>
      <c r="G31" s="93"/>
    </row>
    <row r="32" spans="2:7">
      <c r="B32" s="95" t="s">
        <v>100</v>
      </c>
      <c r="C32" s="88" t="s">
        <v>101</v>
      </c>
      <c r="D32" s="89"/>
      <c r="E32" s="89"/>
      <c r="F32" s="89"/>
      <c r="G32" s="90"/>
    </row>
    <row r="33" spans="2:7" ht="15" thickBot="1">
      <c r="B33" s="96"/>
      <c r="C33" s="91"/>
      <c r="D33" s="92"/>
      <c r="E33" s="92"/>
      <c r="F33" s="92"/>
      <c r="G33" s="93"/>
    </row>
    <row r="34" spans="2:7" ht="31.5" thickBot="1">
      <c r="B34" s="47" t="s">
        <v>102</v>
      </c>
      <c r="C34" s="88"/>
      <c r="D34" s="89"/>
      <c r="E34" s="89"/>
      <c r="F34" s="89"/>
      <c r="G34" s="90"/>
    </row>
    <row r="35" spans="2:7" ht="31.5" thickBot="1">
      <c r="B35" s="47" t="s">
        <v>103</v>
      </c>
      <c r="C35" s="91"/>
      <c r="D35" s="92"/>
      <c r="E35" s="92"/>
      <c r="F35" s="92"/>
      <c r="G35" s="93"/>
    </row>
    <row r="36" spans="2:7" ht="15.95" thickBot="1">
      <c r="B36" s="47" t="s">
        <v>104</v>
      </c>
      <c r="C36" s="94"/>
      <c r="D36" s="94"/>
      <c r="E36" s="94"/>
      <c r="F36" s="94"/>
      <c r="G36" s="94"/>
    </row>
    <row r="37" spans="2:7" ht="15.95" thickBot="1">
      <c r="B37" s="47" t="s">
        <v>105</v>
      </c>
      <c r="C37" s="94"/>
      <c r="D37" s="94"/>
      <c r="E37" s="94"/>
      <c r="F37" s="94"/>
      <c r="G37" s="94"/>
    </row>
    <row r="38" spans="2:7" ht="15.95" thickBot="1">
      <c r="B38" s="47" t="s">
        <v>106</v>
      </c>
      <c r="C38" s="94"/>
      <c r="D38" s="94"/>
      <c r="E38" s="94"/>
      <c r="F38" s="94"/>
      <c r="G38" s="94"/>
    </row>
  </sheetData>
  <mergeCells count="35">
    <mergeCell ref="B8:B9"/>
    <mergeCell ref="C8:G9"/>
    <mergeCell ref="B3:G3"/>
    <mergeCell ref="B4:B5"/>
    <mergeCell ref="C4:G5"/>
    <mergeCell ref="B6:B7"/>
    <mergeCell ref="C6:G7"/>
    <mergeCell ref="B10:B11"/>
    <mergeCell ref="C10:G11"/>
    <mergeCell ref="B12:B13"/>
    <mergeCell ref="C12:G13"/>
    <mergeCell ref="B14:B15"/>
    <mergeCell ref="C14:G15"/>
    <mergeCell ref="B16:B17"/>
    <mergeCell ref="C16:G17"/>
    <mergeCell ref="B18:B19"/>
    <mergeCell ref="C18:G19"/>
    <mergeCell ref="B20:B21"/>
    <mergeCell ref="C20:G21"/>
    <mergeCell ref="B22:B23"/>
    <mergeCell ref="C22:G23"/>
    <mergeCell ref="B24:B25"/>
    <mergeCell ref="C24:G25"/>
    <mergeCell ref="B26:B27"/>
    <mergeCell ref="C26:G27"/>
    <mergeCell ref="C34:G35"/>
    <mergeCell ref="C36:G36"/>
    <mergeCell ref="C37:G37"/>
    <mergeCell ref="C38:G38"/>
    <mergeCell ref="B28:B29"/>
    <mergeCell ref="C28:G29"/>
    <mergeCell ref="B30:B31"/>
    <mergeCell ref="C30:G31"/>
    <mergeCell ref="B32:B33"/>
    <mergeCell ref="C32:G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CB26-7946-48F0-918A-9832357902EE}">
  <dimension ref="C2:H37"/>
  <sheetViews>
    <sheetView workbookViewId="0">
      <selection activeCell="D10" sqref="D10:H11"/>
    </sheetView>
  </sheetViews>
  <sheetFormatPr defaultRowHeight="14.45"/>
  <cols>
    <col min="3" max="3" width="46.42578125" customWidth="1"/>
  </cols>
  <sheetData>
    <row r="2" spans="3:8" ht="15" thickBot="1"/>
    <row r="3" spans="3:8" ht="31.5" thickBot="1">
      <c r="C3" s="103" t="s">
        <v>107</v>
      </c>
      <c r="D3" s="104"/>
      <c r="E3" s="104"/>
      <c r="F3" s="104"/>
      <c r="G3" s="104"/>
      <c r="H3" s="104"/>
    </row>
    <row r="4" spans="3:8">
      <c r="C4" s="95" t="s">
        <v>77</v>
      </c>
      <c r="D4" s="88"/>
      <c r="E4" s="89"/>
      <c r="F4" s="89"/>
      <c r="G4" s="89"/>
      <c r="H4" s="90"/>
    </row>
    <row r="5" spans="3:8" ht="15" thickBot="1">
      <c r="C5" s="96"/>
      <c r="D5" s="91"/>
      <c r="E5" s="92"/>
      <c r="F5" s="92"/>
      <c r="G5" s="92"/>
      <c r="H5" s="93"/>
    </row>
    <row r="6" spans="3:8">
      <c r="C6" s="95" t="s">
        <v>78</v>
      </c>
      <c r="D6" s="88"/>
      <c r="E6" s="89"/>
      <c r="F6" s="89"/>
      <c r="G6" s="89"/>
      <c r="H6" s="90"/>
    </row>
    <row r="7" spans="3:8" ht="15" thickBot="1">
      <c r="C7" s="96"/>
      <c r="D7" s="91"/>
      <c r="E7" s="92"/>
      <c r="F7" s="92"/>
      <c r="G7" s="92"/>
      <c r="H7" s="93"/>
    </row>
    <row r="8" spans="3:8">
      <c r="C8" s="95" t="s">
        <v>80</v>
      </c>
      <c r="D8" s="88"/>
      <c r="E8" s="89"/>
      <c r="F8" s="89"/>
      <c r="G8" s="89"/>
      <c r="H8" s="90"/>
    </row>
    <row r="9" spans="3:8" ht="15" thickBot="1">
      <c r="C9" s="96"/>
      <c r="D9" s="91"/>
      <c r="E9" s="92"/>
      <c r="F9" s="92"/>
      <c r="G9" s="92"/>
      <c r="H9" s="93"/>
    </row>
    <row r="10" spans="3:8">
      <c r="C10" s="95" t="s">
        <v>82</v>
      </c>
      <c r="D10" s="88"/>
      <c r="E10" s="89"/>
      <c r="F10" s="89"/>
      <c r="G10" s="89"/>
      <c r="H10" s="90"/>
    </row>
    <row r="11" spans="3:8" ht="15" thickBot="1">
      <c r="C11" s="96"/>
      <c r="D11" s="91"/>
      <c r="E11" s="92"/>
      <c r="F11" s="92"/>
      <c r="G11" s="92"/>
      <c r="H11" s="93"/>
    </row>
    <row r="12" spans="3:8">
      <c r="C12" s="95" t="s">
        <v>83</v>
      </c>
      <c r="D12" s="88"/>
      <c r="E12" s="89"/>
      <c r="F12" s="89"/>
      <c r="G12" s="89"/>
      <c r="H12" s="90"/>
    </row>
    <row r="13" spans="3:8" ht="15" thickBot="1">
      <c r="C13" s="96"/>
      <c r="D13" s="91"/>
      <c r="E13" s="92"/>
      <c r="F13" s="92"/>
      <c r="G13" s="92"/>
      <c r="H13" s="93"/>
    </row>
    <row r="14" spans="3:8">
      <c r="C14" s="95" t="s">
        <v>84</v>
      </c>
      <c r="D14" s="88"/>
      <c r="E14" s="89"/>
      <c r="F14" s="89"/>
      <c r="G14" s="89"/>
      <c r="H14" s="90"/>
    </row>
    <row r="15" spans="3:8" ht="15" thickBot="1">
      <c r="C15" s="96"/>
      <c r="D15" s="91"/>
      <c r="E15" s="92"/>
      <c r="F15" s="92"/>
      <c r="G15" s="92"/>
      <c r="H15" s="93"/>
    </row>
    <row r="16" spans="3:8">
      <c r="C16" s="95" t="s">
        <v>86</v>
      </c>
      <c r="D16" s="88"/>
      <c r="E16" s="89"/>
      <c r="F16" s="89"/>
      <c r="G16" s="89"/>
      <c r="H16" s="90"/>
    </row>
    <row r="17" spans="3:8" ht="15" thickBot="1">
      <c r="C17" s="96"/>
      <c r="D17" s="91"/>
      <c r="E17" s="92"/>
      <c r="F17" s="92"/>
      <c r="G17" s="92"/>
      <c r="H17" s="93"/>
    </row>
    <row r="18" spans="3:8">
      <c r="C18" s="95" t="s">
        <v>87</v>
      </c>
      <c r="D18" s="88"/>
      <c r="E18" s="89"/>
      <c r="F18" s="89"/>
      <c r="G18" s="89"/>
      <c r="H18" s="90"/>
    </row>
    <row r="19" spans="3:8" ht="15" thickBot="1">
      <c r="C19" s="96"/>
      <c r="D19" s="91"/>
      <c r="E19" s="92"/>
      <c r="F19" s="92"/>
      <c r="G19" s="92"/>
      <c r="H19" s="93"/>
    </row>
    <row r="20" spans="3:8">
      <c r="C20" s="95" t="s">
        <v>89</v>
      </c>
      <c r="D20" s="88"/>
      <c r="E20" s="89"/>
      <c r="F20" s="89"/>
      <c r="G20" s="89"/>
      <c r="H20" s="90"/>
    </row>
    <row r="21" spans="3:8" ht="15" thickBot="1">
      <c r="C21" s="96"/>
      <c r="D21" s="91"/>
      <c r="E21" s="92"/>
      <c r="F21" s="92"/>
      <c r="G21" s="92"/>
      <c r="H21" s="93"/>
    </row>
    <row r="22" spans="3:8">
      <c r="C22" s="95" t="s">
        <v>91</v>
      </c>
      <c r="D22" s="88"/>
      <c r="E22" s="89"/>
      <c r="F22" s="89"/>
      <c r="G22" s="89"/>
      <c r="H22" s="90"/>
    </row>
    <row r="23" spans="3:8" ht="15" thickBot="1">
      <c r="C23" s="96"/>
      <c r="D23" s="91"/>
      <c r="E23" s="92"/>
      <c r="F23" s="92"/>
      <c r="G23" s="92"/>
      <c r="H23" s="93"/>
    </row>
    <row r="24" spans="3:8">
      <c r="C24" s="95" t="s">
        <v>93</v>
      </c>
      <c r="D24" s="88"/>
      <c r="E24" s="89"/>
      <c r="F24" s="89"/>
      <c r="G24" s="89"/>
      <c r="H24" s="90"/>
    </row>
    <row r="25" spans="3:8" ht="15" thickBot="1">
      <c r="C25" s="96"/>
      <c r="D25" s="91"/>
      <c r="E25" s="92"/>
      <c r="F25" s="92"/>
      <c r="G25" s="92"/>
      <c r="H25" s="93"/>
    </row>
    <row r="26" spans="3:8">
      <c r="C26" s="95" t="s">
        <v>94</v>
      </c>
      <c r="D26" s="88"/>
      <c r="E26" s="89"/>
      <c r="F26" s="89"/>
      <c r="G26" s="89"/>
      <c r="H26" s="90"/>
    </row>
    <row r="27" spans="3:8" ht="15" thickBot="1">
      <c r="C27" s="96"/>
      <c r="D27" s="91"/>
      <c r="E27" s="92"/>
      <c r="F27" s="92"/>
      <c r="G27" s="92"/>
      <c r="H27" s="93"/>
    </row>
    <row r="28" spans="3:8">
      <c r="C28" s="95" t="s">
        <v>96</v>
      </c>
      <c r="D28" s="88"/>
      <c r="E28" s="89"/>
      <c r="F28" s="89"/>
      <c r="G28" s="89"/>
      <c r="H28" s="90"/>
    </row>
    <row r="29" spans="3:8" ht="15" thickBot="1">
      <c r="C29" s="96"/>
      <c r="D29" s="91"/>
      <c r="E29" s="92"/>
      <c r="F29" s="92"/>
      <c r="G29" s="92"/>
      <c r="H29" s="93"/>
    </row>
    <row r="30" spans="3:8">
      <c r="C30" s="95" t="s">
        <v>98</v>
      </c>
      <c r="D30" s="88"/>
      <c r="E30" s="89"/>
      <c r="F30" s="89"/>
      <c r="G30" s="89"/>
      <c r="H30" s="90"/>
    </row>
    <row r="31" spans="3:8" ht="15" thickBot="1">
      <c r="C31" s="96"/>
      <c r="D31" s="91"/>
      <c r="E31" s="92"/>
      <c r="F31" s="92"/>
      <c r="G31" s="92"/>
      <c r="H31" s="93"/>
    </row>
    <row r="32" spans="3:8">
      <c r="C32" s="95" t="s">
        <v>100</v>
      </c>
      <c r="D32" s="88"/>
      <c r="E32" s="89"/>
      <c r="F32" s="89"/>
      <c r="G32" s="89"/>
      <c r="H32" s="90"/>
    </row>
    <row r="33" spans="3:8" ht="15" thickBot="1">
      <c r="C33" s="96"/>
      <c r="D33" s="91"/>
      <c r="E33" s="92"/>
      <c r="F33" s="92"/>
      <c r="G33" s="92"/>
      <c r="H33" s="93"/>
    </row>
    <row r="34" spans="3:8" ht="31.5" thickBot="1">
      <c r="C34" s="47" t="s">
        <v>102</v>
      </c>
      <c r="D34" s="88"/>
      <c r="E34" s="89"/>
      <c r="F34" s="89"/>
      <c r="G34" s="89"/>
      <c r="H34" s="90"/>
    </row>
    <row r="35" spans="3:8" ht="31.5" thickBot="1">
      <c r="C35" s="47" t="s">
        <v>103</v>
      </c>
      <c r="D35" s="91"/>
      <c r="E35" s="92"/>
      <c r="F35" s="92"/>
      <c r="G35" s="92"/>
      <c r="H35" s="93"/>
    </row>
    <row r="36" spans="3:8" ht="15.95" thickBot="1">
      <c r="C36" s="47" t="s">
        <v>105</v>
      </c>
      <c r="D36" s="94"/>
      <c r="E36" s="94"/>
      <c r="F36" s="94"/>
      <c r="G36" s="94"/>
      <c r="H36" s="94"/>
    </row>
    <row r="37" spans="3:8" ht="15.95" thickBot="1">
      <c r="C37" s="47" t="s">
        <v>106</v>
      </c>
      <c r="D37" s="94"/>
      <c r="E37" s="94"/>
      <c r="F37" s="94"/>
      <c r="G37" s="94"/>
      <c r="H37" s="94"/>
    </row>
  </sheetData>
  <mergeCells count="34">
    <mergeCell ref="C8:C9"/>
    <mergeCell ref="D8:H9"/>
    <mergeCell ref="C3:H3"/>
    <mergeCell ref="C4:C5"/>
    <mergeCell ref="D4:H5"/>
    <mergeCell ref="C6:C7"/>
    <mergeCell ref="D6:H7"/>
    <mergeCell ref="C10:C11"/>
    <mergeCell ref="D10:H11"/>
    <mergeCell ref="C12:C13"/>
    <mergeCell ref="D12:H13"/>
    <mergeCell ref="C14:C15"/>
    <mergeCell ref="D14:H15"/>
    <mergeCell ref="C16:C17"/>
    <mergeCell ref="D16:H17"/>
    <mergeCell ref="C18:C19"/>
    <mergeCell ref="D18:H19"/>
    <mergeCell ref="C20:C21"/>
    <mergeCell ref="D20:H21"/>
    <mergeCell ref="C22:C23"/>
    <mergeCell ref="D22:H23"/>
    <mergeCell ref="C24:C25"/>
    <mergeCell ref="D24:H25"/>
    <mergeCell ref="C26:C27"/>
    <mergeCell ref="D26:H27"/>
    <mergeCell ref="D34:H35"/>
    <mergeCell ref="D36:H36"/>
    <mergeCell ref="D37:H37"/>
    <mergeCell ref="C28:C29"/>
    <mergeCell ref="D28:H29"/>
    <mergeCell ref="C30:C31"/>
    <mergeCell ref="D30:H31"/>
    <mergeCell ref="C32:C33"/>
    <mergeCell ref="D32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Subhashini S</dc:creator>
  <cp:keywords/>
  <dc:description/>
  <cp:lastModifiedBy/>
  <cp:revision/>
  <dcterms:created xsi:type="dcterms:W3CDTF">2026-03-24T07:12:19Z</dcterms:created>
  <dcterms:modified xsi:type="dcterms:W3CDTF">2026-08-06T06:46:04Z</dcterms:modified>
  <cp:category/>
  <cp:contentStatus/>
</cp:coreProperties>
</file>